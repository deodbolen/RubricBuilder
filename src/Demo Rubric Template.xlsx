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eniger\Downloads\"/>
    </mc:Choice>
  </mc:AlternateContent>
  <xr:revisionPtr revIDLastSave="0" documentId="13_ncr:1_{2EE5EE01-651C-4F98-AE0A-D94AF6A64ED2}" xr6:coauthVersionLast="47" xr6:coauthVersionMax="47" xr10:uidLastSave="{00000000-0000-0000-0000-000000000000}"/>
  <bookViews>
    <workbookView xWindow="17250" yWindow="-21600" windowWidth="23160" windowHeight="20985" tabRatio="500" xr2:uid="{00000000-000D-0000-FFFF-FFFF00000000}"/>
  </bookViews>
  <sheets>
    <sheet name="Rubric" sheetId="1" r:id="rId1"/>
    <sheet name="How to adap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5" i="1" l="1"/>
  <c r="J60" i="1"/>
  <c r="F59" i="1"/>
  <c r="C59" i="1"/>
  <c r="F58" i="1"/>
  <c r="C58" i="1"/>
  <c r="F57" i="1"/>
  <c r="C57" i="1"/>
  <c r="I60" i="1" s="1"/>
  <c r="F54" i="1"/>
  <c r="C54" i="1"/>
  <c r="F53" i="1"/>
  <c r="C53" i="1"/>
  <c r="F52" i="1"/>
  <c r="C52" i="1"/>
  <c r="I50" i="1"/>
  <c r="J50" i="1" s="1"/>
  <c r="H50" i="1"/>
  <c r="B50" i="1" s="1"/>
  <c r="G50" i="1" s="1"/>
  <c r="F49" i="1"/>
  <c r="C49" i="1"/>
  <c r="F48" i="1"/>
  <c r="C48" i="1"/>
  <c r="F47" i="1"/>
  <c r="C47" i="1"/>
  <c r="F44" i="1"/>
  <c r="C44" i="1"/>
  <c r="F43" i="1"/>
  <c r="C43" i="1"/>
  <c r="F42" i="1"/>
  <c r="C42" i="1"/>
  <c r="H45" i="1" s="1"/>
  <c r="B45" i="1" s="1"/>
  <c r="G45" i="1" s="1"/>
  <c r="F39" i="1"/>
  <c r="C39" i="1"/>
  <c r="F38" i="1"/>
  <c r="C38" i="1"/>
  <c r="F37" i="1"/>
  <c r="C37" i="1"/>
  <c r="F36" i="1"/>
  <c r="C36" i="1"/>
  <c r="F33" i="1"/>
  <c r="C33" i="1"/>
  <c r="F32" i="1"/>
  <c r="C32" i="1"/>
  <c r="F31" i="1"/>
  <c r="C31" i="1"/>
  <c r="H34" i="1" s="1"/>
  <c r="B34" i="1" s="1"/>
  <c r="G34" i="1" s="1"/>
  <c r="F28" i="1"/>
  <c r="C28" i="1"/>
  <c r="F27" i="1"/>
  <c r="C27" i="1"/>
  <c r="F26" i="1"/>
  <c r="C26" i="1"/>
  <c r="F25" i="1"/>
  <c r="C25" i="1"/>
  <c r="I29" i="1" s="1"/>
  <c r="J29" i="1" s="1"/>
  <c r="I55" i="1" l="1"/>
  <c r="J55" i="1" s="1"/>
  <c r="C64" i="1"/>
  <c r="I45" i="1"/>
  <c r="J45" i="1" s="1"/>
  <c r="H40" i="1"/>
  <c r="B40" i="1" s="1"/>
  <c r="G40" i="1" s="1"/>
  <c r="C65" i="1"/>
  <c r="C77" i="1"/>
  <c r="A72" i="1"/>
  <c r="I40" i="1"/>
  <c r="J40" i="1" s="1"/>
  <c r="H60" i="1"/>
  <c r="B60" i="1" s="1"/>
  <c r="G60" i="1" s="1"/>
  <c r="I34" i="1"/>
  <c r="J34" i="1" s="1"/>
  <c r="H29" i="1"/>
  <c r="B29" i="1" s="1"/>
  <c r="G29" i="1" s="1"/>
  <c r="C61" i="1" s="1"/>
  <c r="H55" i="1"/>
  <c r="B55" i="1" s="1"/>
  <c r="G55" i="1" s="1"/>
  <c r="C71" i="1" l="1"/>
</calcChain>
</file>

<file path=xl/sharedStrings.xml><?xml version="1.0" encoding="utf-8"?>
<sst xmlns="http://schemas.openxmlformats.org/spreadsheetml/2006/main" count="126" uniqueCount="94">
  <si>
    <t>[Product] - Demo Validation Rubric</t>
  </si>
  <si>
    <t>Date</t>
  </si>
  <si>
    <t>Presenter</t>
  </si>
  <si>
    <t>Product</t>
  </si>
  <si>
    <t>[Product name]</t>
  </si>
  <si>
    <t>Evaluator</t>
  </si>
  <si>
    <t>HOW TO USE</t>
  </si>
  <si>
    <t>•  During the demo, do one thing per subtopic: pick one level from the dropdown.</t>
  </si>
  <si>
    <t>•  Blank = not yet scored (it won't count). To score a zero, pick "Not shown". The Unscored counter below flags anything missed.</t>
  </si>
  <si>
    <t>•  The top level is reserved for customer value.  Clean, unprompted execution reaches "Shown: independent" (75%); tying it to a customer outcome earns "Shown + value" (100%).</t>
  </si>
  <si>
    <t>•  If this product has a flagship topic, treat its score as a serious signal - not a switch - when you make your verdict.</t>
  </si>
  <si>
    <t>SCORING LEVELS EXPLAINED - the same five apply to every subtopic</t>
  </si>
  <si>
    <t>Level</t>
  </si>
  <si>
    <t>%</t>
  </si>
  <si>
    <t>What it means</t>
  </si>
  <si>
    <t>Not shown</t>
  </si>
  <si>
    <t>Neither demonstrated nor mentioned. Absent from the demo.</t>
  </si>
  <si>
    <t>Mentioned</t>
  </si>
  <si>
    <t>Referred to verbally but not demonstrated when it was demonstrable.</t>
  </si>
  <si>
    <t>Shown: prompted</t>
  </si>
  <si>
    <t>Demonstrated only after being asked or reminded, or with help locating or executing it.</t>
  </si>
  <si>
    <t>Shown: independent</t>
  </si>
  <si>
    <t>Demonstrated competently, unprompted, start to finish - but customer value was not tied in.</t>
  </si>
  <si>
    <t>Shown + value</t>
  </si>
  <si>
    <t>Everything in "independent", plus an explicit tie-in to a customer outcome, business case, or use case.</t>
  </si>
  <si>
    <t>SCORING</t>
  </si>
  <si>
    <t>Subtopic</t>
  </si>
  <si>
    <t>Level (pick one)</t>
  </si>
  <si>
    <t>Notes (per topic)</t>
  </si>
  <si>
    <t>(auto)</t>
  </si>
  <si>
    <t>Counts to value? (Yes/No)</t>
  </si>
  <si>
    <t>1 -  [Rename] Topic 1 - e.g., console fluency &amp; navigation (weight 15)</t>
  </si>
  <si>
    <t>[Rename] subtopic 1 - what must be shown</t>
  </si>
  <si>
    <t>[Rename] subtopic 2 - what must be shown</t>
  </si>
  <si>
    <t>[Rename] subtopic 3 - what must be shown</t>
  </si>
  <si>
    <t>[Rename] subtopic 4 - what must be shown</t>
  </si>
  <si>
    <t>▸ Topic 1 score (average × weight)</t>
  </si>
  <si>
    <t>Notes:</t>
  </si>
  <si>
    <t>Yes</t>
  </si>
  <si>
    <t>2 -  [Rename] Topic 2 - e.g., setup / onboarding walkthrough (weight 15)</t>
  </si>
  <si>
    <t>▸ Topic 2 score (average × weight)</t>
  </si>
  <si>
    <t>3 -  [Rename] Topic 3 - flagship capability flow (weight 20)</t>
  </si>
  <si>
    <t>▸ Topic 3 score (average × weight)</t>
  </si>
  <si>
    <t>4 -  [Rename] Topic 4 - core capabilities walkthrough (weight 15)</t>
  </si>
  <si>
    <t>▸ Topic 4 score (average × weight)</t>
  </si>
  <si>
    <t>5 -  [Rename] Topic 5 - visibility / reporting / integration story (weight 10)</t>
  </si>
  <si>
    <t>▸ Topic 5 score (average × weight)</t>
  </si>
  <si>
    <t>6 -  [Rename] Topic 6 - demo recovery &amp; operational awareness (weight 10)</t>
  </si>
  <si>
    <t>▸ Topic 6 score (average × weight)</t>
  </si>
  <si>
    <t>7 -  Narration quality &amp; demo hygiene (weight 15)</t>
  </si>
  <si>
    <t>Narration over GUI</t>
  </si>
  <si>
    <t>Clean presentation state</t>
  </si>
  <si>
    <t>Pacing quality</t>
  </si>
  <si>
    <t>▸ Topic 7 score (average × weight)</t>
  </si>
  <si>
    <t>No</t>
  </si>
  <si>
    <t>TOTAL SCORE</t>
  </si>
  <si>
    <t>SCORE SUMMARY - reference signals for your verdict</t>
  </si>
  <si>
    <t>Unscored subtopics remaining</t>
  </si>
  <si>
    <t>[Flagship topic] signal (optional - repoint or delete)</t>
  </si>
  <si>
    <t>Topics with value tied</t>
  </si>
  <si>
    <t>VALIDATOR DECISIONS</t>
  </si>
  <si>
    <t>QUALITATIVE FEEDBACK</t>
  </si>
  <si>
    <t>Things I liked about the demo</t>
  </si>
  <si>
    <t>Things that need more attention</t>
  </si>
  <si>
    <t>Additional feedback</t>
  </si>
  <si>
    <t>TEMPLATE SETTINGS - for adapting; leave alone while grading</t>
  </si>
  <si>
    <t>Value-gate minimum (number of topics)</t>
  </si>
  <si>
    <t>How to tailor this template to a product</t>
  </si>
  <si>
    <t>Step 0 - Unlock, then re-lock</t>
  </si>
  <si>
    <t>Review ▸ Unprotect Sheet (no password) before structural edits. When done: Review ▸ Protect Sheet, tick “Select unlocked cells”, untick “Select locked cells” - that keeps the cursor on just the fill-in cells during grading.</t>
  </si>
  <si>
    <t>Step 1 - Name things</t>
  </si>
  <si>
    <t>Edit the title (row 1), the Product cell, every topic band, and every [Rename] subtopic in column A. A good subtopic is a behavior a customer would watch (“shows the anomaly drill-down”), not a knowledge bullet.</t>
  </si>
  <si>
    <t>Remove: delete the whole row. The sums are column-based, so nothing breaks.</t>
  </si>
  <si>
    <t>Step 5 - Which topics count toward the value gate</t>
  </si>
  <si>
    <t>Unhide helper columns (select E through O headers, right-click ▸ Unhide). Column N on each Topic score row = “Counts to value?” - Yes for product topics, No for delivery-quality topics (the final hygiene topic ships as No). Columns F-J are automatic; never edit. Re-hide when done.</t>
  </si>
  <si>
    <t>The “[Flagship topic] signal” row in the summary shows one topic's % as a reference for your judgment. Point it at your flagship: its formula ends in H{score row} - use your flagship topic's score-row number. Rename the label; or delete the row if the product has no flagship. To name the flagship inside the verdict dropdown, edit the list under Data ▸ Data Validation on the verdict cell (options are comma-separated, so keep commas out of option text).</t>
  </si>
  <si>
    <t>Step 7 - Thresholds</t>
  </si>
  <si>
    <t>Competency Validation Program - Demo Track - TEMPLATE</t>
  </si>
  <si>
    <t>VERDICT (pick your verdict)</t>
  </si>
  <si>
    <t>VALUE TIED-IN (automatic; validator/mentor eligibility)</t>
  </si>
  <si>
    <t>Passing grade</t>
  </si>
  <si>
    <t>Did the presenter handle a curveball globally?</t>
  </si>
  <si>
    <t>Is the presenter eligible to grade others on this product? (automatic)</t>
  </si>
  <si>
    <t>Roled granted (only if the presenter volunteered)</t>
  </si>
  <si>
    <t>Final topic (Narration quality &amp; demo hygiene) only: read the five levels as quality bands--Absent (0) / Poor (25) / Adequate (50) / Strong (75) / Exemplary (100). It does not count toward the value gate.</t>
  </si>
  <si>
    <t>For whoever builds a product's rubric. The Total, Unscored, value count, and colors all maintain themselves.</t>
  </si>
  <si>
    <r>
      <t xml:space="preserve">Each “Topic score” cell in column B holds =H{row}*weight/100; change weight. Then update the “/ weight” display via right-click ▸ Format Cells ▸ Custom, and the </t>
    </r>
    <r>
      <rPr>
        <b/>
        <sz val="10"/>
        <color rgb="FF222222"/>
        <rFont val="Calibri"/>
        <family val="2"/>
      </rPr>
      <t>0.0" / 5"</t>
    </r>
    <r>
      <rPr>
        <sz val="10"/>
        <color rgb="FF222222"/>
        <rFont val="Calibri"/>
        <family val="2"/>
      </rPr>
      <t xml:space="preserve"> text under "Type." Also, don't forget to update the topic name "(weight &lt;weight&gt;)." Weights across all topics must sum to 100 or the total is no longer out of 100. Weight your flagship topic heaviest.</t>
    </r>
  </si>
  <si>
    <t>Step 2 - Add / remove subtopics</t>
  </si>
  <si>
    <t>Step 3 - Add a whole topic</t>
  </si>
  <si>
    <t>Step 4 - Set the weights (must total 100)</t>
  </si>
  <si>
    <t>Select an existing topic block by its row numbers (band row through score row), Ctrl+C, right-click the topic row below where it should sit above ▸ “Insert Copied Cells”. Rename, set its weight (Step 4), and set its value-eligibility (Step 5). It wires itself into the totals.</t>
  </si>
  <si>
    <t>Step 6 - Flagship signal (Gate) &amp; verdict options</t>
  </si>
  <si>
    <t>TEMPLATE SETTINGS at the bottom holds the value-gate minimum (default 3 topics). Value Tied-in and grading eligibility read it automatically. Hide these rows when done.</t>
  </si>
  <si>
    <t>Add: insert a row BETWEEN two existing subtopics of the topic (never above the first or below the last), then copy a neighboring subtopic row (the entire row) onto it (Ctrl+C on the row, Ctrl+V) and rename. Everything - dropdown, %, counters - comes along.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</si>
</sst>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&quot; / 15&quot;"/>
    <numFmt numFmtId="165" formatCode="0.0&quot; / 20&quot;"/>
    <numFmt numFmtId="166" formatCode="0.0&quot; / 10&quot;"/>
    <numFmt numFmtId="167" formatCode="0.0&quot; / 100&quot;"/>
    <numFmt numFmtId="168" formatCode="0\%"/>
  </numFmts>
  <fonts count="24" x14ac:knownFonts="1">
    <font>
      <sz val="11"/>
      <color theme="1"/>
      <name val="Calibri"/>
      <family val="2"/>
      <charset val="1"/>
    </font>
    <font>
      <b/>
      <sz val="16"/>
      <color rgb="FF2D2D2D"/>
      <name val="Calibri"/>
      <charset val="1"/>
    </font>
    <font>
      <i/>
      <sz val="9"/>
      <color rgb="FF666666"/>
      <name val="Calibri"/>
      <charset val="1"/>
    </font>
    <font>
      <b/>
      <sz val="10"/>
      <color rgb="FF222222"/>
      <name val="Calibri"/>
      <charset val="1"/>
    </font>
    <font>
      <sz val="10"/>
      <color rgb="FF222222"/>
      <name val="Calibri"/>
      <charset val="1"/>
    </font>
    <font>
      <b/>
      <sz val="11"/>
      <color rgb="FFFFFFFF"/>
      <name val="Calibri"/>
      <charset val="1"/>
    </font>
    <font>
      <sz val="9.5"/>
      <color rgb="FF222222"/>
      <name val="Calibri"/>
      <charset val="1"/>
    </font>
    <font>
      <b/>
      <sz val="10"/>
      <color rgb="FFFFFFFF"/>
      <name val="Calibri"/>
      <charset val="1"/>
    </font>
    <font>
      <b/>
      <sz val="9.5"/>
      <color rgb="FF222222"/>
      <name val="Calibri"/>
      <charset val="1"/>
    </font>
    <font>
      <b/>
      <sz val="9.5"/>
      <color rgb="FFDA291C"/>
      <name val="Calibri"/>
      <charset val="1"/>
    </font>
    <font>
      <i/>
      <sz val="8.6999999999999993"/>
      <color rgb="FF666666"/>
      <name val="Calibri"/>
      <charset val="1"/>
    </font>
    <font>
      <i/>
      <sz val="8"/>
      <color rgb="FF808080"/>
      <name val="Calibri"/>
      <charset val="1"/>
    </font>
    <font>
      <sz val="9.3000000000000007"/>
      <color rgb="FF222222"/>
      <name val="Calibri"/>
      <charset val="1"/>
    </font>
    <font>
      <sz val="9"/>
      <color rgb="FF999999"/>
      <name val="Calibri"/>
      <charset val="1"/>
    </font>
    <font>
      <b/>
      <sz val="9"/>
      <color rgb="FF666666"/>
      <name val="Calibri"/>
      <charset val="1"/>
    </font>
    <font>
      <sz val="9"/>
      <color rgb="FF222222"/>
      <name val="Calibri"/>
      <charset val="1"/>
    </font>
    <font>
      <b/>
      <sz val="12"/>
      <color rgb="FFFFFFFF"/>
      <name val="Calibri"/>
      <charset val="1"/>
    </font>
    <font>
      <b/>
      <sz val="10"/>
      <color rgb="FFDA291C"/>
      <name val="Calibri"/>
      <charset val="1"/>
    </font>
    <font>
      <b/>
      <sz val="11"/>
      <color rgb="FF222222"/>
      <name val="Calibri"/>
      <charset val="1"/>
    </font>
    <font>
      <b/>
      <sz val="10.5"/>
      <color rgb="FF222222"/>
      <name val="Calibri"/>
      <charset val="1"/>
    </font>
    <font>
      <i/>
      <sz val="10"/>
      <color rgb="FF666666"/>
      <name val="Calibri"/>
      <charset val="1"/>
    </font>
    <font>
      <sz val="10"/>
      <color rgb="FF222222"/>
      <name val="Calibri"/>
      <family val="2"/>
    </font>
    <font>
      <b/>
      <sz val="10"/>
      <color rgb="FF222222"/>
      <name val="Calibri"/>
      <family val="2"/>
    </font>
    <font>
      <b/>
      <sz val="12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7F7F7"/>
      </patternFill>
    </fill>
    <fill>
      <patternFill patternType="solid">
        <fgColor rgb="FFFFF8E1"/>
        <bgColor rgb="FFF7F7F7"/>
      </patternFill>
    </fill>
    <fill>
      <patternFill patternType="solid">
        <fgColor rgb="FF2D2D2D"/>
        <bgColor rgb="FF222222"/>
      </patternFill>
    </fill>
    <fill>
      <patternFill patternType="solid">
        <fgColor rgb="FFFFFFFF"/>
        <bgColor rgb="FFF7F7F7"/>
      </patternFill>
    </fill>
    <fill>
      <patternFill patternType="solid">
        <fgColor rgb="FF404040"/>
        <bgColor rgb="FF444444"/>
      </patternFill>
    </fill>
    <fill>
      <patternFill patternType="solid">
        <fgColor rgb="FF595959"/>
        <bgColor rgb="FF666666"/>
      </patternFill>
    </fill>
    <fill>
      <patternFill patternType="solid">
        <fgColor rgb="FFF7F7F7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13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 applyProtection="1">
      <alignment horizontal="left" vertical="top" wrapText="1"/>
      <protection locked="0"/>
    </xf>
    <xf numFmtId="164" fontId="4" fillId="0" borderId="0" xfId="0" applyNumberFormat="1" applyFont="1" applyAlignment="1">
      <alignment horizontal="left" vertical="center"/>
    </xf>
    <xf numFmtId="0" fontId="15" fillId="3" borderId="1" xfId="0" applyFont="1" applyFill="1" applyBorder="1" applyAlignment="1" applyProtection="1">
      <alignment horizontal="left" vertical="center"/>
      <protection locked="0"/>
    </xf>
    <xf numFmtId="165" fontId="3" fillId="2" borderId="1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left" vertical="center"/>
    </xf>
    <xf numFmtId="166" fontId="3" fillId="2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0" fillId="4" borderId="0" xfId="0" applyFill="1"/>
    <xf numFmtId="0" fontId="16" fillId="4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 indent="2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2" borderId="1" xfId="0" applyFont="1" applyFill="1" applyBorder="1" applyAlignment="1">
      <alignment horizontal="left" vertical="top"/>
    </xf>
    <xf numFmtId="0" fontId="19" fillId="5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0" fillId="0" borderId="0" xfId="0"/>
    <xf numFmtId="0" fontId="4" fillId="3" borderId="1" xfId="0" applyFont="1" applyFill="1" applyBorder="1" applyAlignment="1" applyProtection="1">
      <alignment horizontal="left" vertical="top" wrapText="1"/>
      <protection locked="0"/>
    </xf>
    <xf numFmtId="0" fontId="0" fillId="0" borderId="3" xfId="0" applyBorder="1" applyProtection="1">
      <protection locked="0"/>
    </xf>
    <xf numFmtId="0" fontId="0" fillId="0" borderId="2" xfId="0" applyBorder="1" applyProtection="1">
      <protection locked="0"/>
    </xf>
    <xf numFmtId="0" fontId="3" fillId="5" borderId="1" xfId="0" applyFont="1" applyFill="1" applyBorder="1" applyAlignment="1">
      <alignment horizontal="center" vertical="center"/>
    </xf>
    <xf numFmtId="168" fontId="3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 applyProtection="1">
      <alignment horizontal="center" vertical="center"/>
      <protection locked="0"/>
    </xf>
    <xf numFmtId="0" fontId="17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6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7" fillId="6" borderId="1" xfId="0" applyFont="1" applyFill="1" applyBorder="1" applyAlignment="1">
      <alignment horizontal="left" vertical="center"/>
    </xf>
    <xf numFmtId="167" fontId="16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 vertical="top" wrapText="1" indent="2"/>
    </xf>
    <xf numFmtId="0" fontId="2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11">
    <dxf>
      <font>
        <b/>
        <color rgb="FF7A4F01"/>
        <name val="Calibri"/>
        <charset val="1"/>
      </font>
      <fill>
        <patternFill>
          <bgColor rgb="FFFFE0B2"/>
        </patternFill>
      </fill>
    </dxf>
    <dxf>
      <font>
        <b/>
        <color rgb="FF1B5E20"/>
        <name val="Calibri"/>
        <charset val="1"/>
      </font>
      <fill>
        <patternFill>
          <bgColor rgb="FFC8E6C9"/>
        </patternFill>
      </fill>
    </dxf>
    <dxf>
      <font>
        <b/>
        <color rgb="FFB71C1C"/>
        <name val="Calibri"/>
        <charset val="1"/>
      </font>
      <fill>
        <patternFill>
          <bgColor rgb="FFFFCDD2"/>
        </patternFill>
      </fill>
    </dxf>
    <dxf>
      <font>
        <b/>
        <color rgb="FF1B5E20"/>
        <name val="Calibri"/>
        <charset val="1"/>
      </font>
      <fill>
        <patternFill>
          <bgColor rgb="FFC8E6C9"/>
        </patternFill>
      </fill>
    </dxf>
    <dxf>
      <font>
        <b/>
        <color rgb="FF1B5E20"/>
        <name val="Calibri"/>
        <charset val="1"/>
      </font>
      <fill>
        <patternFill>
          <bgColor rgb="FFC8E6C9"/>
        </patternFill>
      </fill>
    </dxf>
    <dxf>
      <font>
        <b/>
        <color rgb="FFB71C1C"/>
        <name val="Calibri"/>
        <charset val="1"/>
      </font>
      <fill>
        <patternFill>
          <bgColor rgb="FFFFCDD2"/>
        </patternFill>
      </fill>
    </dxf>
    <dxf>
      <font>
        <b/>
        <color rgb="FF7A4F01"/>
        <name val="Calibri"/>
        <charset val="1"/>
      </font>
      <fill>
        <patternFill>
          <bgColor rgb="FFFFE0B2"/>
        </patternFill>
      </fill>
    </dxf>
    <dxf>
      <font>
        <b/>
        <color rgb="FF1B5E20"/>
        <name val="Calibri"/>
        <charset val="1"/>
      </font>
      <fill>
        <patternFill>
          <bgColor rgb="FFC8E6C9"/>
        </patternFill>
      </fill>
    </dxf>
    <dxf>
      <font>
        <b/>
        <color rgb="FFB71C1C"/>
        <name val="Calibri"/>
        <charset val="1"/>
      </font>
      <fill>
        <patternFill>
          <bgColor rgb="FFFFCDD2"/>
        </patternFill>
      </fill>
    </dxf>
    <dxf>
      <font>
        <b/>
        <color rgb="FF7A4F01"/>
        <name val="Calibri"/>
        <charset val="1"/>
      </font>
      <fill>
        <patternFill>
          <bgColor rgb="FFFFE0B2"/>
        </patternFill>
      </fill>
    </dxf>
    <dxf>
      <font>
        <b/>
        <color rgb="FF1B5E20"/>
        <name val="Calibri"/>
        <charset val="1"/>
      </font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A291C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7A4F01"/>
      <rgbColor rgb="FF800080"/>
      <rgbColor rgb="FF008080"/>
      <rgbColor rgb="FFBFBFBF"/>
      <rgbColor rgb="FF808080"/>
      <rgbColor rgb="FF9999FF"/>
      <rgbColor rgb="FF595959"/>
      <rgbColor rgb="FFFFF8E1"/>
      <rgbColor rgb="FFF2F2F2"/>
      <rgbColor rgb="FF660066"/>
      <rgbColor rgb="FFFF8080"/>
      <rgbColor rgb="FF0066CC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C8E6C9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444444"/>
      <rgbColor rgb="FF339966"/>
      <rgbColor rgb="FF003300"/>
      <rgbColor rgb="FF222222"/>
      <rgbColor rgb="FFB71C1C"/>
      <rgbColor rgb="FF993366"/>
      <rgbColor rgb="FF404040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showGridLines="0" tabSelected="1" zoomScaleNormal="100" workbookViewId="0">
      <selection activeCell="A80" sqref="A80:E80"/>
    </sheetView>
  </sheetViews>
  <sheetFormatPr defaultColWidth="8.6328125" defaultRowHeight="14.5" x14ac:dyDescent="0.35"/>
  <cols>
    <col min="1" max="1" width="44" customWidth="1"/>
    <col min="2" max="2" width="17.1796875" customWidth="1"/>
    <col min="3" max="3" width="16.08984375" customWidth="1"/>
    <col min="4" max="4" width="18" customWidth="1"/>
    <col min="5" max="5" width="44" customWidth="1"/>
    <col min="6" max="10" width="13" hidden="1" customWidth="1"/>
    <col min="14" max="14" width="13" hidden="1" customWidth="1"/>
  </cols>
  <sheetData>
    <row r="1" spans="1:5" ht="27.75" customHeight="1" x14ac:dyDescent="0.35">
      <c r="A1" s="44" t="s">
        <v>0</v>
      </c>
      <c r="B1" s="38"/>
      <c r="C1" s="38"/>
      <c r="D1" s="38"/>
      <c r="E1" s="38"/>
    </row>
    <row r="2" spans="1:5" ht="15" customHeight="1" x14ac:dyDescent="0.35">
      <c r="A2" s="49" t="s">
        <v>77</v>
      </c>
      <c r="B2" s="38"/>
      <c r="C2" s="38"/>
      <c r="D2" s="38"/>
      <c r="E2" s="38"/>
    </row>
    <row r="3" spans="1:5" ht="9" customHeight="1" x14ac:dyDescent="0.35"/>
    <row r="4" spans="1:5" ht="15" customHeight="1" x14ac:dyDescent="0.35">
      <c r="A4" s="1" t="s">
        <v>1</v>
      </c>
      <c r="B4" s="2"/>
      <c r="C4" s="1" t="s">
        <v>2</v>
      </c>
      <c r="D4" s="51"/>
      <c r="E4" s="41"/>
    </row>
    <row r="5" spans="1:5" ht="15" customHeight="1" x14ac:dyDescent="0.35">
      <c r="A5" s="1" t="s">
        <v>3</v>
      </c>
      <c r="B5" s="2" t="s">
        <v>4</v>
      </c>
      <c r="C5" s="1" t="s">
        <v>5</v>
      </c>
      <c r="D5" s="51"/>
      <c r="E5" s="41"/>
    </row>
    <row r="6" spans="1:5" ht="9" customHeight="1" x14ac:dyDescent="0.35"/>
    <row r="7" spans="1:5" ht="19.5" customHeight="1" x14ac:dyDescent="0.35">
      <c r="A7" s="37" t="s">
        <v>6</v>
      </c>
      <c r="B7" s="38"/>
      <c r="C7" s="38"/>
      <c r="D7" s="38"/>
      <c r="E7" s="38"/>
    </row>
    <row r="8" spans="1:5" ht="25.5" customHeight="1" x14ac:dyDescent="0.35">
      <c r="A8" s="52" t="s">
        <v>7</v>
      </c>
      <c r="B8" s="33"/>
      <c r="C8" s="33"/>
      <c r="D8" s="33"/>
      <c r="E8" s="34"/>
    </row>
    <row r="9" spans="1:5" ht="25.5" customHeight="1" x14ac:dyDescent="0.35">
      <c r="A9" s="52" t="s">
        <v>8</v>
      </c>
      <c r="B9" s="33"/>
      <c r="C9" s="33"/>
      <c r="D9" s="33"/>
      <c r="E9" s="34"/>
    </row>
    <row r="10" spans="1:5" ht="25.5" customHeight="1" x14ac:dyDescent="0.35">
      <c r="A10" s="52" t="s">
        <v>9</v>
      </c>
      <c r="B10" s="33"/>
      <c r="C10" s="33"/>
      <c r="D10" s="33"/>
      <c r="E10" s="34"/>
    </row>
    <row r="11" spans="1:5" ht="25.5" customHeight="1" x14ac:dyDescent="0.35">
      <c r="A11" s="52" t="s">
        <v>10</v>
      </c>
      <c r="B11" s="33"/>
      <c r="C11" s="33"/>
      <c r="D11" s="33"/>
      <c r="E11" s="34"/>
    </row>
    <row r="12" spans="1:5" ht="9" customHeight="1" x14ac:dyDescent="0.35"/>
    <row r="13" spans="1:5" ht="19.5" customHeight="1" x14ac:dyDescent="0.35">
      <c r="A13" s="37" t="s">
        <v>11</v>
      </c>
      <c r="B13" s="38"/>
      <c r="C13" s="38"/>
      <c r="D13" s="38"/>
      <c r="E13" s="38"/>
    </row>
    <row r="14" spans="1:5" ht="15" customHeight="1" x14ac:dyDescent="0.35">
      <c r="A14" s="3" t="s">
        <v>12</v>
      </c>
      <c r="B14" s="4" t="s">
        <v>13</v>
      </c>
      <c r="C14" s="54" t="s">
        <v>14</v>
      </c>
      <c r="D14" s="33"/>
      <c r="E14" s="34"/>
    </row>
    <row r="15" spans="1:5" ht="25.5" customHeight="1" x14ac:dyDescent="0.35">
      <c r="A15" s="5" t="s">
        <v>15</v>
      </c>
      <c r="B15" s="31">
        <v>0</v>
      </c>
      <c r="C15" s="32" t="s">
        <v>16</v>
      </c>
      <c r="D15" s="33"/>
      <c r="E15" s="34"/>
    </row>
    <row r="16" spans="1:5" ht="25.5" customHeight="1" x14ac:dyDescent="0.35">
      <c r="A16" s="5" t="s">
        <v>17</v>
      </c>
      <c r="B16" s="31">
        <v>25</v>
      </c>
      <c r="C16" s="32" t="s">
        <v>18</v>
      </c>
      <c r="D16" s="33"/>
      <c r="E16" s="34"/>
    </row>
    <row r="17" spans="1:14" ht="25.5" customHeight="1" x14ac:dyDescent="0.35">
      <c r="A17" s="5" t="s">
        <v>19</v>
      </c>
      <c r="B17" s="31">
        <v>50</v>
      </c>
      <c r="C17" s="32" t="s">
        <v>20</v>
      </c>
      <c r="D17" s="33"/>
      <c r="E17" s="34"/>
    </row>
    <row r="18" spans="1:14" ht="25.5" customHeight="1" x14ac:dyDescent="0.35">
      <c r="A18" s="5" t="s">
        <v>21</v>
      </c>
      <c r="B18" s="31">
        <v>75</v>
      </c>
      <c r="C18" s="32" t="s">
        <v>22</v>
      </c>
      <c r="D18" s="33"/>
      <c r="E18" s="34"/>
    </row>
    <row r="19" spans="1:14" ht="25.5" customHeight="1" x14ac:dyDescent="0.35">
      <c r="A19" s="5" t="s">
        <v>23</v>
      </c>
      <c r="B19" s="31">
        <v>100</v>
      </c>
      <c r="C19" s="32" t="s">
        <v>24</v>
      </c>
      <c r="D19" s="33"/>
      <c r="E19" s="34"/>
    </row>
    <row r="20" spans="1:14" ht="25.5" customHeight="1" x14ac:dyDescent="0.35">
      <c r="A20" s="57" t="s">
        <v>84</v>
      </c>
      <c r="B20" s="33"/>
      <c r="C20" s="33"/>
      <c r="D20" s="33"/>
      <c r="E20" s="34"/>
    </row>
    <row r="21" spans="1:14" ht="9" customHeight="1" x14ac:dyDescent="0.35"/>
    <row r="22" spans="1:14" ht="19.5" customHeight="1" x14ac:dyDescent="0.35">
      <c r="A22" s="37" t="s">
        <v>25</v>
      </c>
      <c r="B22" s="38"/>
      <c r="C22" s="38"/>
      <c r="D22" s="38"/>
      <c r="E22" s="38"/>
    </row>
    <row r="23" spans="1:14" ht="18" customHeight="1" x14ac:dyDescent="0.35">
      <c r="A23" s="3" t="s">
        <v>26</v>
      </c>
      <c r="B23" s="4" t="s">
        <v>27</v>
      </c>
      <c r="C23" s="4" t="s">
        <v>13</v>
      </c>
      <c r="D23" s="6"/>
      <c r="E23" s="3" t="s">
        <v>28</v>
      </c>
      <c r="F23" s="7" t="s">
        <v>29</v>
      </c>
      <c r="G23" s="7" t="s">
        <v>29</v>
      </c>
      <c r="H23" s="7" t="s">
        <v>29</v>
      </c>
      <c r="I23" s="7" t="s">
        <v>29</v>
      </c>
      <c r="J23" s="7" t="s">
        <v>29</v>
      </c>
      <c r="N23" s="7" t="s">
        <v>30</v>
      </c>
    </row>
    <row r="24" spans="1:14" ht="19.5" customHeight="1" x14ac:dyDescent="0.35">
      <c r="A24" s="45" t="s">
        <v>31</v>
      </c>
      <c r="B24" s="38"/>
      <c r="C24" s="38"/>
      <c r="D24" s="38"/>
      <c r="E24" s="38"/>
    </row>
    <row r="25" spans="1:14" ht="16.5" customHeight="1" x14ac:dyDescent="0.35">
      <c r="A25" s="8" t="s">
        <v>32</v>
      </c>
      <c r="B25" s="9"/>
      <c r="C25" s="10" t="str">
        <f>IF($B25="Shown + value",100,IF($B25="Shown: independent",75,IF($B25="Shown: prompted",50,IF($B25="Mentioned",25,IF($B25="Not shown",0,"")))))</f>
        <v/>
      </c>
      <c r="D25" s="11"/>
      <c r="E25" s="12"/>
      <c r="F25" s="13">
        <f>IF($B25="",1,0)</f>
        <v>1</v>
      </c>
    </row>
    <row r="26" spans="1:14" ht="16.5" customHeight="1" x14ac:dyDescent="0.35">
      <c r="A26" s="8" t="s">
        <v>33</v>
      </c>
      <c r="B26" s="9"/>
      <c r="C26" s="10" t="str">
        <f>IF($B26="Shown + value",100,IF($B26="Shown: independent",75,IF($B26="Shown: prompted",50,IF($B26="Mentioned",25,IF($B26="Not shown",0,"")))))</f>
        <v/>
      </c>
      <c r="D26" s="11"/>
      <c r="E26" s="12"/>
      <c r="F26" s="13">
        <f>IF($B26="",1,0)</f>
        <v>1</v>
      </c>
    </row>
    <row r="27" spans="1:14" ht="16.5" customHeight="1" x14ac:dyDescent="0.35">
      <c r="A27" s="8" t="s">
        <v>34</v>
      </c>
      <c r="B27" s="9"/>
      <c r="C27" s="10" t="str">
        <f>IF($B27="Shown + value",100,IF($B27="Shown: independent",75,IF($B27="Shown: prompted",50,IF($B27="Mentioned",25,IF($B27="Not shown",0,"")))))</f>
        <v/>
      </c>
      <c r="D27" s="11"/>
      <c r="E27" s="12"/>
      <c r="F27" s="13">
        <f>IF($B27="",1,0)</f>
        <v>1</v>
      </c>
    </row>
    <row r="28" spans="1:14" ht="16.5" customHeight="1" x14ac:dyDescent="0.35">
      <c r="A28" s="8" t="s">
        <v>35</v>
      </c>
      <c r="B28" s="9"/>
      <c r="C28" s="10" t="str">
        <f>IF($B28="Shown + value",100,IF($B28="Shown: independent",75,IF($B28="Shown: prompted",50,IF($B28="Mentioned",25,IF($B28="Not shown",0,"")))))</f>
        <v/>
      </c>
      <c r="D28" s="11"/>
      <c r="E28" s="12"/>
      <c r="F28" s="13">
        <f>IF($B28="",1,0)</f>
        <v>1</v>
      </c>
    </row>
    <row r="29" spans="1:14" ht="18" customHeight="1" x14ac:dyDescent="0.35">
      <c r="A29" s="14" t="s">
        <v>36</v>
      </c>
      <c r="B29" s="15">
        <f>H29*15/100</f>
        <v>0</v>
      </c>
      <c r="C29" s="16"/>
      <c r="D29" s="17" t="s">
        <v>37</v>
      </c>
      <c r="E29" s="18"/>
      <c r="G29" s="19">
        <f>B29</f>
        <v>0</v>
      </c>
      <c r="H29" s="13">
        <f>IFERROR(AVERAGE(C25:C28),0)</f>
        <v>0</v>
      </c>
      <c r="I29" s="13">
        <f>IF(COUNTIF(C25:C28,100)&gt;0,1,0)</f>
        <v>0</v>
      </c>
      <c r="J29" s="13">
        <f>IF($N29="Yes",$I29,"")</f>
        <v>0</v>
      </c>
      <c r="N29" s="20" t="s">
        <v>38</v>
      </c>
    </row>
    <row r="30" spans="1:14" ht="19.5" customHeight="1" x14ac:dyDescent="0.35">
      <c r="A30" s="45" t="s">
        <v>39</v>
      </c>
      <c r="B30" s="38"/>
      <c r="C30" s="38"/>
      <c r="D30" s="38"/>
      <c r="E30" s="38"/>
    </row>
    <row r="31" spans="1:14" ht="16.5" customHeight="1" x14ac:dyDescent="0.35">
      <c r="A31" s="8" t="s">
        <v>32</v>
      </c>
      <c r="B31" s="9"/>
      <c r="C31" s="10" t="str">
        <f>IF($B31="Shown + value",100,IF($B31="Shown: independent",75,IF($B31="Shown: prompted",50,IF($B31="Mentioned",25,IF($B31="Not shown",0,"")))))</f>
        <v/>
      </c>
      <c r="D31" s="11"/>
      <c r="E31" s="12"/>
      <c r="F31" s="13">
        <f>IF($B31="",1,0)</f>
        <v>1</v>
      </c>
    </row>
    <row r="32" spans="1:14" ht="16.5" customHeight="1" x14ac:dyDescent="0.35">
      <c r="A32" s="8" t="s">
        <v>33</v>
      </c>
      <c r="B32" s="9"/>
      <c r="C32" s="10" t="str">
        <f>IF($B32="Shown + value",100,IF($B32="Shown: independent",75,IF($B32="Shown: prompted",50,IF($B32="Mentioned",25,IF($B32="Not shown",0,"")))))</f>
        <v/>
      </c>
      <c r="D32" s="11"/>
      <c r="E32" s="12"/>
      <c r="F32" s="13">
        <f>IF($B32="",1,0)</f>
        <v>1</v>
      </c>
    </row>
    <row r="33" spans="1:14" ht="16.5" customHeight="1" x14ac:dyDescent="0.35">
      <c r="A33" s="8" t="s">
        <v>34</v>
      </c>
      <c r="B33" s="9"/>
      <c r="C33" s="10" t="str">
        <f>IF($B33="Shown + value",100,IF($B33="Shown: independent",75,IF($B33="Shown: prompted",50,IF($B33="Mentioned",25,IF($B33="Not shown",0,"")))))</f>
        <v/>
      </c>
      <c r="D33" s="11"/>
      <c r="E33" s="12"/>
      <c r="F33" s="13">
        <f>IF($B33="",1,0)</f>
        <v>1</v>
      </c>
    </row>
    <row r="34" spans="1:14" ht="18" customHeight="1" x14ac:dyDescent="0.35">
      <c r="A34" s="14" t="s">
        <v>40</v>
      </c>
      <c r="B34" s="15">
        <f>H34*15/100</f>
        <v>0</v>
      </c>
      <c r="C34" s="16"/>
      <c r="D34" s="17" t="s">
        <v>37</v>
      </c>
      <c r="E34" s="18"/>
      <c r="G34" s="19">
        <f>B34</f>
        <v>0</v>
      </c>
      <c r="H34" s="13">
        <f>IFERROR(AVERAGE(C31:C33),0)</f>
        <v>0</v>
      </c>
      <c r="I34" s="13">
        <f>IF(COUNTIF(C31:C33,100)&gt;0,1,0)</f>
        <v>0</v>
      </c>
      <c r="J34" s="13">
        <f>IF($N34="Yes",$I34,"")</f>
        <v>0</v>
      </c>
      <c r="N34" s="20" t="s">
        <v>38</v>
      </c>
    </row>
    <row r="35" spans="1:14" ht="19.5" customHeight="1" x14ac:dyDescent="0.35">
      <c r="A35" s="45" t="s">
        <v>41</v>
      </c>
      <c r="B35" s="38"/>
      <c r="C35" s="38"/>
      <c r="D35" s="38"/>
      <c r="E35" s="38"/>
    </row>
    <row r="36" spans="1:14" ht="16.5" customHeight="1" x14ac:dyDescent="0.35">
      <c r="A36" s="8" t="s">
        <v>32</v>
      </c>
      <c r="B36" s="9"/>
      <c r="C36" s="10" t="str">
        <f>IF($B36="Shown + value",100,IF($B36="Shown: independent",75,IF($B36="Shown: prompted",50,IF($B36="Mentioned",25,IF($B36="Not shown",0,"")))))</f>
        <v/>
      </c>
      <c r="D36" s="11"/>
      <c r="E36" s="12"/>
      <c r="F36" s="13">
        <f>IF($B36="",1,0)</f>
        <v>1</v>
      </c>
    </row>
    <row r="37" spans="1:14" ht="16.5" customHeight="1" x14ac:dyDescent="0.35">
      <c r="A37" s="8" t="s">
        <v>33</v>
      </c>
      <c r="B37" s="9"/>
      <c r="C37" s="10" t="str">
        <f>IF($B37="Shown + value",100,IF($B37="Shown: independent",75,IF($B37="Shown: prompted",50,IF($B37="Mentioned",25,IF($B37="Not shown",0,"")))))</f>
        <v/>
      </c>
      <c r="D37" s="11"/>
      <c r="E37" s="12"/>
      <c r="F37" s="13">
        <f>IF($B37="",1,0)</f>
        <v>1</v>
      </c>
    </row>
    <row r="38" spans="1:14" ht="16.5" customHeight="1" x14ac:dyDescent="0.35">
      <c r="A38" s="8" t="s">
        <v>34</v>
      </c>
      <c r="B38" s="9"/>
      <c r="C38" s="10" t="str">
        <f>IF($B38="Shown + value",100,IF($B38="Shown: independent",75,IF($B38="Shown: prompted",50,IF($B38="Mentioned",25,IF($B38="Not shown",0,"")))))</f>
        <v/>
      </c>
      <c r="D38" s="11"/>
      <c r="E38" s="12"/>
      <c r="F38" s="13">
        <f>IF($B38="",1,0)</f>
        <v>1</v>
      </c>
    </row>
    <row r="39" spans="1:14" ht="16.5" customHeight="1" x14ac:dyDescent="0.35">
      <c r="A39" s="8" t="s">
        <v>35</v>
      </c>
      <c r="B39" s="9"/>
      <c r="C39" s="10" t="str">
        <f>IF($B39="Shown + value",100,IF($B39="Shown: independent",75,IF($B39="Shown: prompted",50,IF($B39="Mentioned",25,IF($B39="Not shown",0,"")))))</f>
        <v/>
      </c>
      <c r="D39" s="11"/>
      <c r="E39" s="12"/>
      <c r="F39" s="13">
        <f>IF($B39="",1,0)</f>
        <v>1</v>
      </c>
    </row>
    <row r="40" spans="1:14" ht="18" customHeight="1" x14ac:dyDescent="0.35">
      <c r="A40" s="14" t="s">
        <v>42</v>
      </c>
      <c r="B40" s="21">
        <f>H40*20/100</f>
        <v>0</v>
      </c>
      <c r="C40" s="16"/>
      <c r="D40" s="17" t="s">
        <v>37</v>
      </c>
      <c r="E40" s="18"/>
      <c r="G40" s="22">
        <f>B40</f>
        <v>0</v>
      </c>
      <c r="H40" s="13">
        <f>IFERROR(AVERAGE(C36:C39),0)</f>
        <v>0</v>
      </c>
      <c r="I40" s="13">
        <f>IF(COUNTIF(C36:C39,100)&gt;0,1,0)</f>
        <v>0</v>
      </c>
      <c r="J40" s="13">
        <f>IF($N40="Yes",$I40,"")</f>
        <v>0</v>
      </c>
      <c r="N40" s="20" t="s">
        <v>38</v>
      </c>
    </row>
    <row r="41" spans="1:14" ht="19.5" customHeight="1" x14ac:dyDescent="0.35">
      <c r="A41" s="45" t="s">
        <v>43</v>
      </c>
      <c r="B41" s="38"/>
      <c r="C41" s="38"/>
      <c r="D41" s="38"/>
      <c r="E41" s="38"/>
    </row>
    <row r="42" spans="1:14" ht="16.5" customHeight="1" x14ac:dyDescent="0.35">
      <c r="A42" s="8" t="s">
        <v>32</v>
      </c>
      <c r="B42" s="9"/>
      <c r="C42" s="10" t="str">
        <f>IF($B42="Shown + value",100,IF($B42="Shown: independent",75,IF($B42="Shown: prompted",50,IF($B42="Mentioned",25,IF($B42="Not shown",0,"")))))</f>
        <v/>
      </c>
      <c r="D42" s="11"/>
      <c r="E42" s="12"/>
      <c r="F42" s="13">
        <f>IF($B42="",1,0)</f>
        <v>1</v>
      </c>
    </row>
    <row r="43" spans="1:14" ht="16.5" customHeight="1" x14ac:dyDescent="0.35">
      <c r="A43" s="8" t="s">
        <v>33</v>
      </c>
      <c r="B43" s="9"/>
      <c r="C43" s="10" t="str">
        <f>IF($B43="Shown + value",100,IF($B43="Shown: independent",75,IF($B43="Shown: prompted",50,IF($B43="Mentioned",25,IF($B43="Not shown",0,"")))))</f>
        <v/>
      </c>
      <c r="D43" s="11"/>
      <c r="E43" s="12"/>
      <c r="F43" s="13">
        <f>IF($B43="",1,0)</f>
        <v>1</v>
      </c>
    </row>
    <row r="44" spans="1:14" ht="16.5" customHeight="1" x14ac:dyDescent="0.35">
      <c r="A44" s="8" t="s">
        <v>34</v>
      </c>
      <c r="B44" s="9"/>
      <c r="C44" s="10" t="str">
        <f>IF($B44="Shown + value",100,IF($B44="Shown: independent",75,IF($B44="Shown: prompted",50,IF($B44="Mentioned",25,IF($B44="Not shown",0,"")))))</f>
        <v/>
      </c>
      <c r="D44" s="11"/>
      <c r="E44" s="12"/>
      <c r="F44" s="13">
        <f>IF($B44="",1,0)</f>
        <v>1</v>
      </c>
    </row>
    <row r="45" spans="1:14" ht="18" customHeight="1" x14ac:dyDescent="0.35">
      <c r="A45" s="14" t="s">
        <v>44</v>
      </c>
      <c r="B45" s="15">
        <f>H45*15/100</f>
        <v>0</v>
      </c>
      <c r="C45" s="16"/>
      <c r="D45" s="17" t="s">
        <v>37</v>
      </c>
      <c r="E45" s="18"/>
      <c r="G45" s="19">
        <f>B45</f>
        <v>0</v>
      </c>
      <c r="H45" s="13">
        <f>IFERROR(AVERAGE(C42:C44),0)</f>
        <v>0</v>
      </c>
      <c r="I45" s="13">
        <f>IF(COUNTIF(C42:C44,100)&gt;0,1,0)</f>
        <v>0</v>
      </c>
      <c r="J45" s="13">
        <f>IF($N45="Yes",$I45,"")</f>
        <v>0</v>
      </c>
      <c r="N45" s="20" t="s">
        <v>38</v>
      </c>
    </row>
    <row r="46" spans="1:14" ht="19.5" customHeight="1" x14ac:dyDescent="0.35">
      <c r="A46" s="45" t="s">
        <v>45</v>
      </c>
      <c r="B46" s="38"/>
      <c r="C46" s="38"/>
      <c r="D46" s="38"/>
      <c r="E46" s="38"/>
    </row>
    <row r="47" spans="1:14" ht="16.5" customHeight="1" x14ac:dyDescent="0.35">
      <c r="A47" s="8" t="s">
        <v>32</v>
      </c>
      <c r="B47" s="9"/>
      <c r="C47" s="10" t="str">
        <f>IF($B47="Shown + value",100,IF($B47="Shown: independent",75,IF($B47="Shown: prompted",50,IF($B47="Mentioned",25,IF($B47="Not shown",0,"")))))</f>
        <v/>
      </c>
      <c r="D47" s="11"/>
      <c r="E47" s="12"/>
      <c r="F47" s="13">
        <f>IF($B47="",1,0)</f>
        <v>1</v>
      </c>
    </row>
    <row r="48" spans="1:14" ht="16.5" customHeight="1" x14ac:dyDescent="0.35">
      <c r="A48" s="8" t="s">
        <v>33</v>
      </c>
      <c r="B48" s="9"/>
      <c r="C48" s="10" t="str">
        <f>IF($B48="Shown + value",100,IF($B48="Shown: independent",75,IF($B48="Shown: prompted",50,IF($B48="Mentioned",25,IF($B48="Not shown",0,"")))))</f>
        <v/>
      </c>
      <c r="D48" s="11"/>
      <c r="E48" s="12"/>
      <c r="F48" s="13">
        <f>IF($B48="",1,0)</f>
        <v>1</v>
      </c>
    </row>
    <row r="49" spans="1:14" ht="16.5" customHeight="1" x14ac:dyDescent="0.35">
      <c r="A49" s="8" t="s">
        <v>34</v>
      </c>
      <c r="B49" s="9"/>
      <c r="C49" s="10" t="str">
        <f>IF($B49="Shown + value",100,IF($B49="Shown: independent",75,IF($B49="Shown: prompted",50,IF($B49="Mentioned",25,IF($B49="Not shown",0,"")))))</f>
        <v/>
      </c>
      <c r="D49" s="11"/>
      <c r="E49" s="12"/>
      <c r="F49" s="13">
        <f>IF($B49="",1,0)</f>
        <v>1</v>
      </c>
    </row>
    <row r="50" spans="1:14" ht="18" customHeight="1" x14ac:dyDescent="0.35">
      <c r="A50" s="14" t="s">
        <v>46</v>
      </c>
      <c r="B50" s="23">
        <f>H50*10/100</f>
        <v>0</v>
      </c>
      <c r="C50" s="16"/>
      <c r="D50" s="17" t="s">
        <v>37</v>
      </c>
      <c r="E50" s="18"/>
      <c r="G50" s="24">
        <f>B50</f>
        <v>0</v>
      </c>
      <c r="H50" s="13">
        <f>IFERROR(AVERAGE(C47:C49),0)</f>
        <v>0</v>
      </c>
      <c r="I50" s="13">
        <f>IF(COUNTIF(C47:C49,100)&gt;0,1,0)</f>
        <v>0</v>
      </c>
      <c r="J50" s="13">
        <f>IF($N50="Yes",$I50,"")</f>
        <v>0</v>
      </c>
      <c r="N50" s="20" t="s">
        <v>38</v>
      </c>
    </row>
    <row r="51" spans="1:14" ht="19.5" customHeight="1" x14ac:dyDescent="0.35">
      <c r="A51" s="45" t="s">
        <v>47</v>
      </c>
      <c r="B51" s="38"/>
      <c r="C51" s="38"/>
      <c r="D51" s="38"/>
      <c r="E51" s="38"/>
    </row>
    <row r="52" spans="1:14" ht="16.5" customHeight="1" x14ac:dyDescent="0.35">
      <c r="A52" s="8" t="s">
        <v>32</v>
      </c>
      <c r="B52" s="9"/>
      <c r="C52" s="10" t="str">
        <f>IF($B52="Shown + value",100,IF($B52="Shown: independent",75,IF($B52="Shown: prompted",50,IF($B52="Mentioned",25,IF($B52="Not shown",0,"")))))</f>
        <v/>
      </c>
      <c r="D52" s="11"/>
      <c r="E52" s="12"/>
      <c r="F52" s="13">
        <f>IF($B52="",1,0)</f>
        <v>1</v>
      </c>
    </row>
    <row r="53" spans="1:14" ht="16.5" customHeight="1" x14ac:dyDescent="0.35">
      <c r="A53" s="8" t="s">
        <v>33</v>
      </c>
      <c r="B53" s="9"/>
      <c r="C53" s="10" t="str">
        <f>IF($B53="Shown + value",100,IF($B53="Shown: independent",75,IF($B53="Shown: prompted",50,IF($B53="Mentioned",25,IF($B53="Not shown",0,"")))))</f>
        <v/>
      </c>
      <c r="D53" s="11"/>
      <c r="E53" s="12"/>
      <c r="F53" s="13">
        <f>IF($B53="",1,0)</f>
        <v>1</v>
      </c>
    </row>
    <row r="54" spans="1:14" ht="16.5" customHeight="1" x14ac:dyDescent="0.35">
      <c r="A54" s="8" t="s">
        <v>34</v>
      </c>
      <c r="B54" s="9"/>
      <c r="C54" s="10" t="str">
        <f>IF($B54="Shown + value",100,IF($B54="Shown: independent",75,IF($B54="Shown: prompted",50,IF($B54="Mentioned",25,IF($B54="Not shown",0,"")))))</f>
        <v/>
      </c>
      <c r="D54" s="11"/>
      <c r="E54" s="12"/>
      <c r="F54" s="13">
        <f>IF($B54="",1,0)</f>
        <v>1</v>
      </c>
    </row>
    <row r="55" spans="1:14" ht="18" customHeight="1" x14ac:dyDescent="0.35">
      <c r="A55" s="14" t="s">
        <v>48</v>
      </c>
      <c r="B55" s="23">
        <f>H55*10/100</f>
        <v>0</v>
      </c>
      <c r="C55" s="16"/>
      <c r="D55" s="17" t="s">
        <v>37</v>
      </c>
      <c r="E55" s="18"/>
      <c r="G55" s="24">
        <f>B55</f>
        <v>0</v>
      </c>
      <c r="H55" s="13">
        <f>IFERROR(AVERAGE(C52:C54),0)</f>
        <v>0</v>
      </c>
      <c r="I55" s="13">
        <f>IF(COUNTIF(C52:C54,100)&gt;0,1,0)</f>
        <v>0</v>
      </c>
      <c r="J55" s="13">
        <f>IF($N55="Yes",$I55,"")</f>
        <v>0</v>
      </c>
      <c r="N55" s="20" t="s">
        <v>38</v>
      </c>
    </row>
    <row r="56" spans="1:14" ht="19.5" customHeight="1" x14ac:dyDescent="0.35">
      <c r="A56" s="45" t="s">
        <v>49</v>
      </c>
      <c r="B56" s="38"/>
      <c r="C56" s="38"/>
      <c r="D56" s="38"/>
      <c r="E56" s="38"/>
    </row>
    <row r="57" spans="1:14" ht="16.5" customHeight="1" x14ac:dyDescent="0.35">
      <c r="A57" s="8" t="s">
        <v>50</v>
      </c>
      <c r="B57" s="9"/>
      <c r="C57" s="10" t="str">
        <f>IF($B57="Shown + value",100,IF($B57="Shown: independent",75,IF($B57="Shown: prompted",50,IF($B57="Mentioned",25,IF($B57="Not shown",0,"")))))</f>
        <v/>
      </c>
      <c r="D57" s="11"/>
      <c r="E57" s="12"/>
      <c r="F57" s="13">
        <f>IF($B57="",1,0)</f>
        <v>1</v>
      </c>
    </row>
    <row r="58" spans="1:14" ht="16.5" customHeight="1" x14ac:dyDescent="0.35">
      <c r="A58" s="8" t="s">
        <v>51</v>
      </c>
      <c r="B58" s="9"/>
      <c r="C58" s="10" t="str">
        <f>IF($B58="Shown + value",100,IF($B58="Shown: independent",75,IF($B58="Shown: prompted",50,IF($B58="Mentioned",25,IF($B58="Not shown",0,"")))))</f>
        <v/>
      </c>
      <c r="D58" s="11"/>
      <c r="E58" s="12"/>
      <c r="F58" s="13">
        <f>IF($B58="",1,0)</f>
        <v>1</v>
      </c>
    </row>
    <row r="59" spans="1:14" ht="16.5" customHeight="1" x14ac:dyDescent="0.35">
      <c r="A59" s="8" t="s">
        <v>52</v>
      </c>
      <c r="B59" s="9"/>
      <c r="C59" s="10" t="str">
        <f>IF($B59="Shown + value",100,IF($B59="Shown: independent",75,IF($B59="Shown: prompted",50,IF($B59="Mentioned",25,IF($B59="Not shown",0,"")))))</f>
        <v/>
      </c>
      <c r="D59" s="11"/>
      <c r="E59" s="12"/>
      <c r="F59" s="13">
        <f>IF($B59="",1,0)</f>
        <v>1</v>
      </c>
    </row>
    <row r="60" spans="1:14" ht="18" customHeight="1" x14ac:dyDescent="0.35">
      <c r="A60" s="14" t="s">
        <v>53</v>
      </c>
      <c r="B60" s="15">
        <f>H60*15/100</f>
        <v>0</v>
      </c>
      <c r="C60" s="16"/>
      <c r="D60" s="17" t="s">
        <v>37</v>
      </c>
      <c r="E60" s="18"/>
      <c r="G60" s="19">
        <f>B60</f>
        <v>0</v>
      </c>
      <c r="H60" s="13">
        <f>IFERROR(AVERAGE(C57:C59),0)</f>
        <v>0</v>
      </c>
      <c r="I60" s="13">
        <f>IF(COUNTIF(C57:C59,100)&gt;0,1,0)</f>
        <v>0</v>
      </c>
      <c r="J60" s="13" t="str">
        <f>IF($N60="Yes",$I60,"")</f>
        <v/>
      </c>
      <c r="N60" s="20" t="s">
        <v>54</v>
      </c>
    </row>
    <row r="61" spans="1:14" ht="21.75" customHeight="1" x14ac:dyDescent="0.35">
      <c r="A61" s="56" t="s">
        <v>55</v>
      </c>
      <c r="B61" s="34"/>
      <c r="C61" s="55">
        <f>SUM(G:G)</f>
        <v>0</v>
      </c>
      <c r="D61" s="33"/>
      <c r="E61" s="34"/>
    </row>
    <row r="62" spans="1:14" ht="9" customHeight="1" x14ac:dyDescent="0.35"/>
    <row r="63" spans="1:14" ht="19.5" customHeight="1" x14ac:dyDescent="0.35">
      <c r="A63" s="37" t="s">
        <v>56</v>
      </c>
      <c r="B63" s="38"/>
      <c r="C63" s="38"/>
      <c r="D63" s="38"/>
      <c r="E63" s="38"/>
    </row>
    <row r="64" spans="1:14" ht="15" customHeight="1" x14ac:dyDescent="0.35">
      <c r="A64" s="46" t="s">
        <v>57</v>
      </c>
      <c r="B64" s="34"/>
      <c r="C64" s="42">
        <f>SUM(F:F)</f>
        <v>23</v>
      </c>
      <c r="D64" s="33"/>
      <c r="E64" s="34"/>
    </row>
    <row r="65" spans="1:5" ht="15" customHeight="1" x14ac:dyDescent="0.35">
      <c r="A65" s="48" t="s">
        <v>58</v>
      </c>
      <c r="B65" s="34"/>
      <c r="C65" s="43" t="str">
        <f>IF(C64&gt;0,"—",H40)</f>
        <v>—</v>
      </c>
      <c r="D65" s="33"/>
      <c r="E65" s="34"/>
    </row>
    <row r="66" spans="1:5" ht="9" customHeight="1" x14ac:dyDescent="0.35"/>
    <row r="67" spans="1:5" ht="19.5" customHeight="1" x14ac:dyDescent="0.35">
      <c r="A67" s="50" t="s">
        <v>78</v>
      </c>
      <c r="B67" s="38"/>
      <c r="C67" s="38"/>
      <c r="D67" s="38"/>
      <c r="E67" s="38"/>
    </row>
    <row r="68" spans="1:5" ht="24" customHeight="1" x14ac:dyDescent="0.35">
      <c r="A68" s="47"/>
      <c r="B68" s="40"/>
      <c r="C68" s="40"/>
      <c r="D68" s="40"/>
      <c r="E68" s="41"/>
    </row>
    <row r="69" spans="1:5" ht="9" customHeight="1" x14ac:dyDescent="0.35"/>
    <row r="70" spans="1:5" ht="19.5" customHeight="1" x14ac:dyDescent="0.35">
      <c r="A70" s="50" t="s">
        <v>79</v>
      </c>
      <c r="B70" s="38"/>
      <c r="C70" s="38"/>
      <c r="D70" s="38"/>
      <c r="E70" s="38"/>
    </row>
    <row r="71" spans="1:5" ht="15" customHeight="1" x14ac:dyDescent="0.35">
      <c r="A71" s="46" t="s">
        <v>59</v>
      </c>
      <c r="B71" s="34"/>
      <c r="C71" s="42">
        <f>SUM(J:J)</f>
        <v>0</v>
      </c>
      <c r="D71" s="33"/>
      <c r="E71" s="34"/>
    </row>
    <row r="72" spans="1:5" ht="21.75" customHeight="1" x14ac:dyDescent="0.35">
      <c r="A72" s="36" t="str">
        <f>IF(C64&gt;0,"—",IF(C71&gt;=$C$86,"Value gate MET - strong pass; eligible for nomination","Value gate NOT met - value-tying is the development area; not yet endorsed"))</f>
        <v>—</v>
      </c>
      <c r="B72" s="33"/>
      <c r="C72" s="33"/>
      <c r="D72" s="33"/>
      <c r="E72" s="34"/>
    </row>
    <row r="73" spans="1:5" ht="9" customHeight="1" x14ac:dyDescent="0.35"/>
    <row r="74" spans="1:5" ht="19.5" customHeight="1" x14ac:dyDescent="0.35">
      <c r="A74" s="37" t="s">
        <v>60</v>
      </c>
      <c r="B74" s="38"/>
      <c r="C74" s="38"/>
      <c r="D74" s="38"/>
      <c r="E74" s="38"/>
    </row>
    <row r="75" spans="1:5" ht="15" customHeight="1" x14ac:dyDescent="0.35">
      <c r="A75" s="46" t="s">
        <v>80</v>
      </c>
      <c r="B75" s="34"/>
      <c r="C75" s="42" t="str">
        <f>IF(A68="","—",IF(A68="Competency met","Yes","No"))</f>
        <v>—</v>
      </c>
      <c r="D75" s="33"/>
      <c r="E75" s="34"/>
    </row>
    <row r="76" spans="1:5" ht="15" customHeight="1" x14ac:dyDescent="0.35">
      <c r="A76" s="46" t="s">
        <v>81</v>
      </c>
      <c r="B76" s="34"/>
      <c r="C76" s="53"/>
      <c r="D76" s="40"/>
      <c r="E76" s="41"/>
    </row>
    <row r="77" spans="1:5" ht="15" customHeight="1" x14ac:dyDescent="0.35">
      <c r="A77" s="46" t="s">
        <v>82</v>
      </c>
      <c r="B77" s="34"/>
      <c r="C77" s="42" t="str">
        <f>IF(C64&gt;0,"—",IF(C71&gt;=$C$86,"Eligible","Not yet"))</f>
        <v>—</v>
      </c>
      <c r="D77" s="33"/>
      <c r="E77" s="34"/>
    </row>
    <row r="78" spans="1:5" ht="15" customHeight="1" x14ac:dyDescent="0.35">
      <c r="A78" s="46" t="s">
        <v>83</v>
      </c>
      <c r="B78" s="34"/>
      <c r="C78" s="53"/>
      <c r="D78" s="40"/>
      <c r="E78" s="41"/>
    </row>
    <row r="79" spans="1:5" ht="9" customHeight="1" x14ac:dyDescent="0.35"/>
    <row r="80" spans="1:5" ht="19.5" customHeight="1" x14ac:dyDescent="0.35">
      <c r="A80" s="37" t="s">
        <v>61</v>
      </c>
      <c r="B80" s="38"/>
      <c r="C80" s="38"/>
      <c r="D80" s="38"/>
      <c r="E80" s="38"/>
    </row>
    <row r="81" spans="1:5" ht="39.75" customHeight="1" x14ac:dyDescent="0.35">
      <c r="A81" s="35" t="s">
        <v>62</v>
      </c>
      <c r="B81" s="34"/>
      <c r="C81" s="39"/>
      <c r="D81" s="40"/>
      <c r="E81" s="41"/>
    </row>
    <row r="82" spans="1:5" ht="39.75" customHeight="1" x14ac:dyDescent="0.35">
      <c r="A82" s="35" t="s">
        <v>63</v>
      </c>
      <c r="B82" s="34"/>
      <c r="C82" s="39"/>
      <c r="D82" s="40"/>
      <c r="E82" s="41"/>
    </row>
    <row r="83" spans="1:5" ht="39.75" customHeight="1" x14ac:dyDescent="0.35">
      <c r="A83" s="35" t="s">
        <v>64</v>
      </c>
      <c r="B83" s="34"/>
      <c r="C83" s="39"/>
      <c r="D83" s="40"/>
      <c r="E83" s="41"/>
    </row>
    <row r="84" spans="1:5" ht="9" customHeight="1" x14ac:dyDescent="0.35"/>
    <row r="85" spans="1:5" ht="19.5" customHeight="1" x14ac:dyDescent="0.35">
      <c r="A85" s="37" t="s">
        <v>65</v>
      </c>
      <c r="B85" s="38"/>
      <c r="C85" s="38"/>
      <c r="D85" s="38"/>
      <c r="E85" s="38"/>
    </row>
    <row r="86" spans="1:5" ht="15" customHeight="1" x14ac:dyDescent="0.35">
      <c r="A86" s="46" t="s">
        <v>66</v>
      </c>
      <c r="B86" s="34"/>
      <c r="C86" s="25">
        <v>3</v>
      </c>
    </row>
  </sheetData>
  <sheetProtection selectLockedCells="1"/>
  <mergeCells count="56">
    <mergeCell ref="A11:E11"/>
    <mergeCell ref="A20:E20"/>
    <mergeCell ref="A56:E56"/>
    <mergeCell ref="D4:E4"/>
    <mergeCell ref="A22:E22"/>
    <mergeCell ref="A8:E8"/>
    <mergeCell ref="C76:E76"/>
    <mergeCell ref="C82:E82"/>
    <mergeCell ref="C15:E15"/>
    <mergeCell ref="A10:E10"/>
    <mergeCell ref="C78:E78"/>
    <mergeCell ref="D5:E5"/>
    <mergeCell ref="A67:E67"/>
    <mergeCell ref="A13:E13"/>
    <mergeCell ref="A30:E30"/>
    <mergeCell ref="A9:E9"/>
    <mergeCell ref="A76:B76"/>
    <mergeCell ref="C14:E14"/>
    <mergeCell ref="A71:B71"/>
    <mergeCell ref="A86:B86"/>
    <mergeCell ref="C64:E64"/>
    <mergeCell ref="A68:E68"/>
    <mergeCell ref="A77:B77"/>
    <mergeCell ref="C75:E75"/>
    <mergeCell ref="A64:B64"/>
    <mergeCell ref="A83:B83"/>
    <mergeCell ref="A65:B65"/>
    <mergeCell ref="A74:E74"/>
    <mergeCell ref="A80:E80"/>
    <mergeCell ref="A85:E85"/>
    <mergeCell ref="A75:B75"/>
    <mergeCell ref="A70:E70"/>
    <mergeCell ref="C77:E77"/>
    <mergeCell ref="C83:E83"/>
    <mergeCell ref="C81:E81"/>
    <mergeCell ref="C71:E71"/>
    <mergeCell ref="C65:E65"/>
    <mergeCell ref="A1:E1"/>
    <mergeCell ref="A35:E35"/>
    <mergeCell ref="A78:B78"/>
    <mergeCell ref="A7:E7"/>
    <mergeCell ref="A24:E24"/>
    <mergeCell ref="C17:E17"/>
    <mergeCell ref="C16:E16"/>
    <mergeCell ref="A51:E51"/>
    <mergeCell ref="A2:E2"/>
    <mergeCell ref="A41:E41"/>
    <mergeCell ref="C18:E18"/>
    <mergeCell ref="A46:E46"/>
    <mergeCell ref="C19:E19"/>
    <mergeCell ref="A82:B82"/>
    <mergeCell ref="A81:B81"/>
    <mergeCell ref="A72:E72"/>
    <mergeCell ref="A63:E63"/>
    <mergeCell ref="C61:E61"/>
    <mergeCell ref="A61:B61"/>
  </mergeCells>
  <conditionalFormatting sqref="A68">
    <cfRule type="expression" dxfId="10" priority="4">
      <formula>A68="Competency met"</formula>
    </cfRule>
    <cfRule type="expression" dxfId="9" priority="5">
      <formula>ISNUMBER(SEARCH("Targeted",A68))</formula>
    </cfRule>
    <cfRule type="expression" dxfId="8" priority="6">
      <formula>ISNUMBER(SEARCH("Full",A68))</formula>
    </cfRule>
  </conditionalFormatting>
  <conditionalFormatting sqref="A72">
    <cfRule type="expression" dxfId="7" priority="7">
      <formula>ISNUMBER(SEARCH("MET",A72))</formula>
    </cfRule>
    <cfRule type="expression" dxfId="6" priority="8">
      <formula>ISNUMBER(SEARCH("NOT met",A72))</formula>
    </cfRule>
  </conditionalFormatting>
  <conditionalFormatting sqref="C64">
    <cfRule type="cellIs" dxfId="5" priority="2" operator="greaterThan">
      <formula>0</formula>
    </cfRule>
    <cfRule type="cellIs" dxfId="4" priority="3" operator="equal">
      <formula>0</formula>
    </cfRule>
  </conditionalFormatting>
  <conditionalFormatting sqref="C75">
    <cfRule type="cellIs" dxfId="3" priority="9" operator="equal">
      <formula>"Yes"</formula>
    </cfRule>
    <cfRule type="cellIs" dxfId="2" priority="10" operator="equal">
      <formula>"No"</formula>
    </cfRule>
  </conditionalFormatting>
  <conditionalFormatting sqref="C77">
    <cfRule type="cellIs" dxfId="1" priority="11" operator="equal">
      <formula>"Eligible"</formula>
    </cfRule>
    <cfRule type="cellIs" dxfId="0" priority="12" operator="equal">
      <formula>"Not yet"</formula>
    </cfRule>
  </conditionalFormatting>
  <dataValidations count="4">
    <dataValidation type="list" allowBlank="1" sqref="B25:B28 B31:B33 B36:B39 B42:B44 B47:B49 B52:B54 B57:B59" xr:uid="{00000000-0002-0000-0000-000000000000}">
      <formula1>",Not shown,Mentioned,Shown: prompted,Shown: independent,Shown + value"</formula1>
      <formula2>0</formula2>
    </dataValidation>
    <dataValidation type="list" allowBlank="1" sqref="C76" xr:uid="{00000000-0002-0000-0000-000001000000}">
      <formula1>",Yes,No,N/A - none occurred"</formula1>
      <formula2>0</formula2>
    </dataValidation>
    <dataValidation type="list" allowBlank="1" sqref="C78" xr:uid="{00000000-0002-0000-0000-000002000000}">
      <formula1>",-,Validator,Mentor"</formula1>
      <formula2>0</formula2>
    </dataValidation>
    <dataValidation type="list" allowBlank="1" sqref="A68" xr:uid="{00000000-0002-0000-0000-000003000000}">
      <formula1>",Competency met,Targeted re-validation - name the topic in notes,Full re-validation (after coaching)"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showGridLines="0" zoomScale="130" zoomScaleNormal="130" workbookViewId="0">
      <selection activeCell="B17" sqref="B17"/>
    </sheetView>
  </sheetViews>
  <sheetFormatPr defaultColWidth="8.6328125" defaultRowHeight="14.5" x14ac:dyDescent="0.35"/>
  <cols>
    <col min="1" max="1" width="4" customWidth="1"/>
    <col min="2" max="2" width="112" customWidth="1"/>
  </cols>
  <sheetData>
    <row r="1" spans="1:2" ht="25.5" customHeight="1" x14ac:dyDescent="0.35">
      <c r="B1" s="26" t="s">
        <v>67</v>
      </c>
    </row>
    <row r="2" spans="1:2" ht="31.5" customHeight="1" x14ac:dyDescent="0.35">
      <c r="B2" s="27" t="s">
        <v>85</v>
      </c>
    </row>
    <row r="4" spans="1:2" ht="21.75" customHeight="1" x14ac:dyDescent="0.35">
      <c r="A4" s="28"/>
      <c r="B4" s="29" t="s">
        <v>68</v>
      </c>
    </row>
    <row r="5" spans="1:2" ht="30" customHeight="1" x14ac:dyDescent="0.35">
      <c r="B5" s="30" t="s">
        <v>69</v>
      </c>
    </row>
    <row r="7" spans="1:2" ht="21.75" customHeight="1" x14ac:dyDescent="0.35">
      <c r="A7" s="28"/>
      <c r="B7" s="29" t="s">
        <v>70</v>
      </c>
    </row>
    <row r="8" spans="1:2" ht="30" customHeight="1" x14ac:dyDescent="0.35">
      <c r="B8" s="30" t="s">
        <v>71</v>
      </c>
    </row>
    <row r="10" spans="1:2" ht="21.75" customHeight="1" x14ac:dyDescent="0.35">
      <c r="A10" s="28"/>
      <c r="B10" s="59" t="s">
        <v>87</v>
      </c>
    </row>
    <row r="11" spans="1:2" ht="26" x14ac:dyDescent="0.35">
      <c r="B11" s="58" t="s">
        <v>93</v>
      </c>
    </row>
    <row r="12" spans="1:2" x14ac:dyDescent="0.35">
      <c r="B12" s="30" t="s">
        <v>72</v>
      </c>
    </row>
    <row r="13" spans="1:2" ht="21.75" customHeight="1" x14ac:dyDescent="0.35">
      <c r="A13" s="28"/>
      <c r="B13" s="59" t="s">
        <v>88</v>
      </c>
    </row>
    <row r="14" spans="1:2" ht="26" x14ac:dyDescent="0.35">
      <c r="B14" s="58" t="s">
        <v>90</v>
      </c>
    </row>
    <row r="16" spans="1:2" ht="21.75" customHeight="1" x14ac:dyDescent="0.35">
      <c r="A16" s="28"/>
      <c r="B16" s="59" t="s">
        <v>89</v>
      </c>
    </row>
    <row r="17" spans="1:2" ht="39" x14ac:dyDescent="0.35">
      <c r="B17" s="58" t="s">
        <v>86</v>
      </c>
    </row>
    <row r="19" spans="1:2" ht="21.75" customHeight="1" x14ac:dyDescent="0.35">
      <c r="A19" s="28"/>
      <c r="B19" s="29" t="s">
        <v>73</v>
      </c>
    </row>
    <row r="20" spans="1:2" ht="39.75" customHeight="1" x14ac:dyDescent="0.35">
      <c r="B20" s="58" t="s">
        <v>74</v>
      </c>
    </row>
    <row r="22" spans="1:2" ht="21.75" customHeight="1" x14ac:dyDescent="0.35">
      <c r="A22" s="28"/>
      <c r="B22" s="59" t="s">
        <v>91</v>
      </c>
    </row>
    <row r="23" spans="1:2" ht="49.5" customHeight="1" x14ac:dyDescent="0.35">
      <c r="B23" s="58" t="s">
        <v>75</v>
      </c>
    </row>
    <row r="25" spans="1:2" ht="21.75" customHeight="1" x14ac:dyDescent="0.35">
      <c r="A25" s="28"/>
      <c r="B25" s="29" t="s">
        <v>76</v>
      </c>
    </row>
    <row r="26" spans="1:2" ht="26" x14ac:dyDescent="0.35">
      <c r="B26" s="58" t="s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How to adapt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Anju Deniger</cp:lastModifiedBy>
  <cp:revision>0</cp:revision>
  <dcterms:created xsi:type="dcterms:W3CDTF">2026-07-01T22:41:54Z</dcterms:created>
  <dcterms:modified xsi:type="dcterms:W3CDTF">2026-07-02T21:55:16Z</dcterms:modified>
  <dc:language>en-US</dc:language>
</cp:coreProperties>
</file>